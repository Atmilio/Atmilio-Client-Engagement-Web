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OneDrive\Desktop\Atmilio\Clients\CompleteIntake\02\"/>
    </mc:Choice>
  </mc:AlternateContent>
  <xr:revisionPtr revIDLastSave="0" documentId="8_{D05117FA-05A3-4A04-9DB1-CB80F37CEB6C}" xr6:coauthVersionLast="47" xr6:coauthVersionMax="47" xr10:uidLastSave="{00000000-0000-0000-0000-000000000000}"/>
  <bookViews>
    <workbookView xWindow="-110" yWindow="-110" windowWidth="19420" windowHeight="10300" xr2:uid="{1990AB96-E5E7-4A53-9D0E-F79F74E81FB2}"/>
  </bookViews>
  <sheets>
    <sheet name="Competitor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/>
  <c r="I12" i="1"/>
  <c r="C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Nathan Johns</author>
  </authors>
  <commentList>
    <comment ref="I12" authorId="0" shapeId="0" xr:uid="{13C5AC19-E8EA-4FE9-A4CD-AAC47FE3384A}">
      <text>
        <r>
          <rPr>
            <b/>
            <sz val="9"/>
            <color indexed="81"/>
            <rFont val="Tahoma"/>
            <family val="2"/>
          </rPr>
          <t>Nathan Johns:</t>
        </r>
        <r>
          <rPr>
            <sz val="9"/>
            <color indexed="81"/>
            <rFont val="Tahoma"/>
            <family val="2"/>
          </rPr>
          <t xml:space="preserve">
information about who provided funding needs to be included</t>
        </r>
      </text>
    </comment>
  </commentList>
</comments>
</file>

<file path=xl/sharedStrings.xml><?xml version="1.0" encoding="utf-8"?>
<sst xmlns="http://schemas.openxmlformats.org/spreadsheetml/2006/main" count="49" uniqueCount="24">
  <si>
    <t>Skypoint AI (Home Health 365)</t>
  </si>
  <si>
    <t>Eleos Health</t>
  </si>
  <si>
    <t>Homecare Homebase (Intelligence Suite)</t>
  </si>
  <si>
    <t>Investor</t>
  </si>
  <si>
    <t>Round</t>
  </si>
  <si>
    <t>Contact</t>
  </si>
  <si>
    <t>Contact Email</t>
  </si>
  <si>
    <t>Location</t>
  </si>
  <si>
    <t>Lool Ventures</t>
  </si>
  <si>
    <t>Pre-Seed</t>
  </si>
  <si>
    <t>Tel Aviv, Tel Aviv, Israel</t>
  </si>
  <si>
    <t>Maccabee</t>
  </si>
  <si>
    <t>New York, New York, United States</t>
  </si>
  <si>
    <t>As of 2/10/2026</t>
  </si>
  <si>
    <t>Skypoint AI</t>
  </si>
  <si>
    <t>Total Funding</t>
  </si>
  <si>
    <t xml:space="preserve">Seed </t>
  </si>
  <si>
    <t>Lead Investor - Formation Capital</t>
  </si>
  <si>
    <t>https://formationcapital.com/</t>
  </si>
  <si>
    <t>Series A</t>
  </si>
  <si>
    <t>Additonal Funding Round</t>
  </si>
  <si>
    <t>Series B</t>
  </si>
  <si>
    <t>Series 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</si>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</sst>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 val="singleAccounting"/>
      <sz val="14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b/>
      <i/>
      <u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3" borderId="4" xfId="0" applyFill="1" applyBorder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3" borderId="2" xfId="0" applyFill="1" applyBorder="1"/>
    <xf numFmtId="0" fontId="0" fillId="0" borderId="5" xfId="0" applyBorder="1"/>
    <xf numFmtId="0" fontId="0" fillId="3" borderId="0" xfId="0" applyFill="1"/>
    <xf numFmtId="0" fontId="0" fillId="0" borderId="6" xfId="0" applyBorder="1"/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0" fontId="4" fillId="6" borderId="10" xfId="0" applyFont="1" applyFill="1" applyBorder="1"/>
    <xf numFmtId="44" fontId="7" fillId="6" borderId="4" xfId="1" applyFont="1" applyFill="1" applyBorder="1" applyAlignment="1"/>
    <xf numFmtId="44" fontId="7" fillId="6" borderId="11" xfId="1" applyFont="1" applyFill="1" applyBorder="1" applyAlignment="1"/>
    <xf numFmtId="0" fontId="8" fillId="6" borderId="5" xfId="0" applyFont="1" applyFill="1" applyBorder="1"/>
    <xf numFmtId="14" fontId="0" fillId="6" borderId="0" xfId="1" applyNumberFormat="1" applyFont="1" applyFill="1" applyBorder="1" applyAlignment="1">
      <alignment horizontal="center"/>
    </xf>
    <xf numFmtId="44" fontId="0" fillId="6" borderId="0" xfId="1" applyFont="1" applyFill="1" applyBorder="1" applyAlignment="1">
      <alignment horizontal="center"/>
    </xf>
    <xf numFmtId="44" fontId="0" fillId="6" borderId="6" xfId="1" applyFont="1" applyFill="1" applyBorder="1" applyAlignment="1">
      <alignment horizontal="center"/>
    </xf>
    <xf numFmtId="0" fontId="0" fillId="6" borderId="5" xfId="0" applyFill="1" applyBorder="1"/>
    <xf numFmtId="0" fontId="0" fillId="6" borderId="0" xfId="0" applyFill="1"/>
    <xf numFmtId="0" fontId="0" fillId="6" borderId="6" xfId="0" applyFill="1" applyBorder="1"/>
    <xf numFmtId="0" fontId="5" fillId="6" borderId="5" xfId="0" applyFont="1" applyFill="1" applyBorder="1"/>
    <xf numFmtId="0" fontId="9" fillId="6" borderId="0" xfId="2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0" fillId="6" borderId="6" xfId="0" applyFont="1" applyFill="1" applyBorder="1" applyAlignment="1">
      <alignment horizontal="center"/>
    </xf>
    <xf numFmtId="14" fontId="0" fillId="6" borderId="0" xfId="1" applyNumberFormat="1" applyFont="1" applyFill="1" applyBorder="1" applyAlignment="1">
      <alignment horizontal="center"/>
    </xf>
    <xf numFmtId="44" fontId="0" fillId="6" borderId="0" xfId="1" applyFont="1" applyFill="1" applyBorder="1" applyAlignment="1">
      <alignment horizontal="center"/>
    </xf>
    <xf numFmtId="44" fontId="0" fillId="6" borderId="6" xfId="1" applyFont="1" applyFill="1" applyBorder="1" applyAlignment="1">
      <alignment horizontal="center"/>
    </xf>
    <xf numFmtId="0" fontId="8" fillId="6" borderId="7" xfId="0" applyFont="1" applyFill="1" applyBorder="1"/>
    <xf numFmtId="14" fontId="0" fillId="6" borderId="8" xfId="1" applyNumberFormat="1" applyFont="1" applyFill="1" applyBorder="1" applyAlignment="1">
      <alignment horizontal="center"/>
    </xf>
    <xf numFmtId="44" fontId="0" fillId="6" borderId="8" xfId="1" applyFont="1" applyFill="1" applyBorder="1" applyAlignment="1">
      <alignment horizontal="center"/>
    </xf>
    <xf numFmtId="44" fontId="0" fillId="6" borderId="9" xfId="1" applyFont="1" applyFill="1" applyBorder="1" applyAlignment="1">
      <alignment horizontal="center"/>
    </xf>
    <xf numFmtId="0" fontId="2" fillId="0" borderId="0" xfId="0" applyFont="1"/>
    <xf numFmtId="14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formationcapit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11EA-DDA5-4460-9467-3B3F6D0BDE55}">
  <dimension ref="B1:R30"/>
  <sheetViews>
    <sheetView tabSelected="1" zoomScale="47" zoomScaleNormal="47" workbookViewId="0">
      <selection activeCell="Q31" sqref="Q31"/>
    </sheetView>
  </sheetViews>
  <sheetFormatPr defaultRowHeight="14.5" x14ac:dyDescent="0.35"/>
  <cols>
    <col min="2" max="2" width="30.7265625" bestFit="1" customWidth="1"/>
    <col min="3" max="3" width="10.54296875" bestFit="1" customWidth="1"/>
    <col min="5" max="5" width="16.54296875" bestFit="1" customWidth="1"/>
    <col min="6" max="6" width="11.08984375" bestFit="1" customWidth="1"/>
    <col min="7" max="7" width="1.453125" customWidth="1"/>
    <col min="8" max="8" width="17.453125" bestFit="1" customWidth="1"/>
    <col min="9" max="10" width="10.1796875" bestFit="1" customWidth="1"/>
    <col min="11" max="11" width="16.54296875" bestFit="1" customWidth="1"/>
    <col min="12" max="12" width="32.54296875" bestFit="1" customWidth="1"/>
    <col min="13" max="13" width="1.453125" customWidth="1"/>
    <col min="14" max="14" width="37.453125" bestFit="1" customWidth="1"/>
    <col min="16" max="16" width="8.1796875" bestFit="1" customWidth="1"/>
    <col min="17" max="17" width="13.7265625" bestFit="1" customWidth="1"/>
    <col min="18" max="18" width="48.453125" customWidth="1"/>
  </cols>
  <sheetData>
    <row r="1" spans="2:18" x14ac:dyDescent="0.35">
      <c r="B1" s="35" t="s">
        <v>23</v>
      </c>
      <c r="C1" s="36">
        <v>46077</v>
      </c>
    </row>
    <row r="3" spans="2:18" ht="15" thickBot="1" x14ac:dyDescent="0.4"/>
    <row r="4" spans="2:18" ht="16.5" thickBot="1" x14ac:dyDescent="0.45">
      <c r="B4" s="1" t="s">
        <v>0</v>
      </c>
      <c r="C4" s="2"/>
      <c r="D4" s="2"/>
      <c r="E4" s="2"/>
      <c r="F4" s="3"/>
      <c r="G4" s="4"/>
      <c r="H4" s="1" t="s">
        <v>1</v>
      </c>
      <c r="I4" s="2"/>
      <c r="J4" s="2"/>
      <c r="K4" s="2"/>
      <c r="L4" s="3"/>
      <c r="M4" s="4"/>
      <c r="N4" s="1" t="s">
        <v>2</v>
      </c>
      <c r="O4" s="2"/>
      <c r="P4" s="2"/>
      <c r="Q4" s="2"/>
      <c r="R4" s="3"/>
    </row>
    <row r="5" spans="2:18" ht="15" thickBot="1" x14ac:dyDescent="0.4">
      <c r="B5" s="5" t="s">
        <v>3</v>
      </c>
      <c r="C5" s="6" t="s">
        <v>4</v>
      </c>
      <c r="D5" s="6" t="s">
        <v>5</v>
      </c>
      <c r="E5" s="6" t="s">
        <v>6</v>
      </c>
      <c r="F5" s="7" t="s">
        <v>7</v>
      </c>
      <c r="G5" s="8"/>
      <c r="H5" s="5" t="s">
        <v>3</v>
      </c>
      <c r="I5" s="6" t="s">
        <v>4</v>
      </c>
      <c r="J5" s="6" t="s">
        <v>5</v>
      </c>
      <c r="K5" s="6" t="s">
        <v>6</v>
      </c>
      <c r="L5" s="7" t="s">
        <v>7</v>
      </c>
      <c r="M5" s="8"/>
      <c r="N5" s="5" t="s">
        <v>3</v>
      </c>
      <c r="O5" s="6" t="s">
        <v>4</v>
      </c>
      <c r="P5" s="6" t="s">
        <v>5</v>
      </c>
      <c r="Q5" s="6" t="s">
        <v>6</v>
      </c>
      <c r="R5" s="7" t="s">
        <v>7</v>
      </c>
    </row>
    <row r="6" spans="2:18" x14ac:dyDescent="0.35">
      <c r="B6" s="9"/>
      <c r="G6" s="10"/>
      <c r="H6" t="s">
        <v>8</v>
      </c>
      <c r="I6" t="s">
        <v>9</v>
      </c>
      <c r="L6" t="s">
        <v>10</v>
      </c>
      <c r="M6" s="10"/>
      <c r="R6" s="11"/>
    </row>
    <row r="7" spans="2:18" x14ac:dyDescent="0.35">
      <c r="B7" s="9"/>
      <c r="G7" s="10"/>
      <c r="H7" t="s">
        <v>11</v>
      </c>
      <c r="I7" t="s">
        <v>9</v>
      </c>
      <c r="L7" t="s">
        <v>12</v>
      </c>
      <c r="M7" s="10"/>
      <c r="R7" s="11"/>
    </row>
    <row r="8" spans="2:18" x14ac:dyDescent="0.35">
      <c r="B8" s="9"/>
      <c r="G8" s="10"/>
      <c r="M8" s="10"/>
      <c r="R8" s="11"/>
    </row>
    <row r="9" spans="2:18" x14ac:dyDescent="0.35">
      <c r="B9" s="9"/>
      <c r="G9" s="10"/>
      <c r="M9" s="10"/>
      <c r="R9" s="11"/>
    </row>
    <row r="10" spans="2:18" ht="26" x14ac:dyDescent="0.6">
      <c r="B10" s="12" t="s">
        <v>13</v>
      </c>
      <c r="C10" s="13" t="s">
        <v>14</v>
      </c>
      <c r="D10" s="13"/>
      <c r="E10" s="13"/>
      <c r="F10" s="13"/>
      <c r="H10" s="12" t="s">
        <v>13</v>
      </c>
      <c r="I10" s="13" t="s">
        <v>1</v>
      </c>
      <c r="J10" s="13"/>
      <c r="K10" s="13"/>
      <c r="L10" s="13"/>
      <c r="N10" s="12" t="s">
        <v>13</v>
      </c>
      <c r="O10" s="13" t="s">
        <v>2</v>
      </c>
      <c r="P10" s="13"/>
      <c r="Q10" s="13"/>
      <c r="R10" s="13"/>
    </row>
    <row r="11" spans="2:18" ht="15" thickBot="1" x14ac:dyDescent="0.4"/>
    <row r="12" spans="2:18" ht="20" x14ac:dyDescent="0.6">
      <c r="B12" s="14" t="s">
        <v>15</v>
      </c>
      <c r="C12" s="15">
        <f>SUM(E13,E16,E21)</f>
        <v>12000000</v>
      </c>
      <c r="D12" s="15"/>
      <c r="E12" s="15"/>
      <c r="F12" s="16"/>
      <c r="H12" s="14" t="s">
        <v>15</v>
      </c>
      <c r="I12" s="15">
        <f>K13+K16+K19+K22+K25</f>
        <v>128000000</v>
      </c>
      <c r="J12" s="15"/>
      <c r="K12" s="15"/>
      <c r="L12" s="16"/>
      <c r="N12" s="14" t="s">
        <v>15</v>
      </c>
      <c r="O12" s="15">
        <f>SUM(Q13,Q16,Q22)</f>
        <v>56600000</v>
      </c>
      <c r="P12" s="15"/>
      <c r="Q12" s="15"/>
      <c r="R12" s="16"/>
    </row>
    <row r="13" spans="2:18" x14ac:dyDescent="0.35">
      <c r="B13" s="17" t="s">
        <v>9</v>
      </c>
      <c r="C13" s="18">
        <v>44256</v>
      </c>
      <c r="D13" s="19"/>
      <c r="E13" s="19">
        <v>2500000</v>
      </c>
      <c r="F13" s="20"/>
      <c r="H13" s="17" t="s">
        <v>9</v>
      </c>
      <c r="I13" s="18">
        <v>43887</v>
      </c>
      <c r="J13" s="19"/>
      <c r="K13" s="19">
        <v>2000000</v>
      </c>
      <c r="L13" s="20"/>
      <c r="N13" s="17" t="s">
        <v>9</v>
      </c>
      <c r="O13" s="18"/>
      <c r="P13" s="19"/>
      <c r="Q13" s="19"/>
      <c r="R13" s="20"/>
    </row>
    <row r="14" spans="2:18" ht="8.25" customHeight="1" x14ac:dyDescent="0.35">
      <c r="B14" s="21"/>
      <c r="C14" s="22"/>
      <c r="D14" s="22"/>
      <c r="E14" s="22"/>
      <c r="F14" s="23"/>
      <c r="H14" s="21"/>
      <c r="I14" s="22"/>
      <c r="J14" s="22"/>
      <c r="K14" s="22"/>
      <c r="L14" s="23"/>
      <c r="N14" s="21"/>
      <c r="O14" s="22"/>
      <c r="P14" s="22"/>
      <c r="Q14" s="22"/>
      <c r="R14" s="23"/>
    </row>
    <row r="15" spans="2:18" hidden="1" x14ac:dyDescent="0.35">
      <c r="B15" s="21"/>
      <c r="C15" s="22"/>
      <c r="D15" s="22"/>
      <c r="E15" s="22"/>
      <c r="F15" s="23"/>
      <c r="H15" s="21"/>
      <c r="I15" s="22"/>
      <c r="J15" s="22"/>
      <c r="K15" s="22"/>
      <c r="L15" s="23"/>
      <c r="N15" s="21"/>
      <c r="O15" s="22"/>
      <c r="P15" s="22"/>
      <c r="Q15" s="22"/>
      <c r="R15" s="23"/>
    </row>
    <row r="16" spans="2:18" x14ac:dyDescent="0.35">
      <c r="B16" s="17" t="s">
        <v>16</v>
      </c>
      <c r="C16" s="18">
        <v>44449</v>
      </c>
      <c r="D16" s="19"/>
      <c r="E16" s="19">
        <v>6000000</v>
      </c>
      <c r="F16" s="20"/>
      <c r="H16" s="17" t="s">
        <v>16</v>
      </c>
      <c r="I16" s="18">
        <v>44452</v>
      </c>
      <c r="J16" s="19"/>
      <c r="K16" s="19">
        <v>6000000</v>
      </c>
      <c r="L16" s="20"/>
      <c r="N16" s="17" t="s">
        <v>16</v>
      </c>
      <c r="O16" s="18">
        <v>40616</v>
      </c>
      <c r="P16" s="19"/>
      <c r="Q16" s="19">
        <v>56600000</v>
      </c>
      <c r="R16" s="20"/>
    </row>
    <row r="17" spans="2:18" x14ac:dyDescent="0.35">
      <c r="B17" s="24" t="s">
        <v>17</v>
      </c>
      <c r="C17" s="25" t="s">
        <v>18</v>
      </c>
      <c r="D17" s="26"/>
      <c r="E17" s="26"/>
      <c r="F17" s="27"/>
      <c r="H17" s="17"/>
      <c r="I17" s="28"/>
      <c r="J17" s="29"/>
      <c r="K17" s="19"/>
      <c r="L17" s="20"/>
      <c r="N17" s="17"/>
      <c r="O17" s="28"/>
      <c r="P17" s="29"/>
      <c r="Q17" s="29"/>
      <c r="R17" s="30"/>
    </row>
    <row r="18" spans="2:18" x14ac:dyDescent="0.35">
      <c r="B18" s="21"/>
      <c r="C18" s="22"/>
      <c r="D18" s="22"/>
      <c r="E18" s="22"/>
      <c r="F18" s="23"/>
      <c r="H18" s="17"/>
      <c r="I18" s="18"/>
      <c r="J18" s="19"/>
      <c r="K18" s="19"/>
      <c r="L18" s="20"/>
      <c r="N18" s="24" t="s">
        <v>17</v>
      </c>
      <c r="O18" s="25"/>
      <c r="P18" s="26"/>
      <c r="Q18" s="26"/>
      <c r="R18" s="27"/>
    </row>
    <row r="19" spans="2:18" x14ac:dyDescent="0.35">
      <c r="B19" s="21"/>
      <c r="C19" s="22"/>
      <c r="D19" s="22"/>
      <c r="E19" s="22"/>
      <c r="F19" s="23"/>
      <c r="H19" s="17" t="s">
        <v>19</v>
      </c>
      <c r="I19" s="18">
        <v>44656</v>
      </c>
      <c r="J19" s="19"/>
      <c r="K19" s="19">
        <v>20000000</v>
      </c>
      <c r="L19" s="20"/>
      <c r="N19" s="21"/>
      <c r="O19" s="22"/>
      <c r="P19" s="22"/>
      <c r="Q19" s="22"/>
      <c r="R19" s="23"/>
    </row>
    <row r="20" spans="2:18" x14ac:dyDescent="0.35">
      <c r="B20" s="21"/>
      <c r="C20" s="22"/>
      <c r="D20" s="22"/>
      <c r="E20" s="22"/>
      <c r="F20" s="23"/>
      <c r="H20" s="17"/>
      <c r="I20" s="18"/>
      <c r="J20" s="19"/>
      <c r="K20" s="19"/>
      <c r="L20" s="20"/>
      <c r="N20" s="21"/>
      <c r="O20" s="22"/>
      <c r="P20" s="22"/>
      <c r="Q20" s="22"/>
      <c r="R20" s="23"/>
    </row>
    <row r="21" spans="2:18" ht="15" thickBot="1" x14ac:dyDescent="0.4">
      <c r="B21" s="31" t="s">
        <v>20</v>
      </c>
      <c r="C21" s="32">
        <v>45381</v>
      </c>
      <c r="D21" s="33"/>
      <c r="E21" s="33">
        <v>3500000</v>
      </c>
      <c r="F21" s="34"/>
      <c r="H21" s="17"/>
      <c r="I21" s="18"/>
      <c r="J21" s="19"/>
      <c r="K21" s="19"/>
      <c r="L21" s="20"/>
      <c r="N21" s="21"/>
      <c r="O21" s="22"/>
      <c r="P21" s="22"/>
      <c r="Q21" s="22"/>
      <c r="R21" s="23"/>
    </row>
    <row r="22" spans="2:18" ht="15" thickBot="1" x14ac:dyDescent="0.4">
      <c r="H22" s="17" t="s">
        <v>21</v>
      </c>
      <c r="I22" s="18">
        <v>45238</v>
      </c>
      <c r="J22" s="19"/>
      <c r="K22" s="19">
        <v>40000000</v>
      </c>
      <c r="L22" s="20"/>
      <c r="N22" s="31" t="s">
        <v>20</v>
      </c>
      <c r="O22" s="32"/>
      <c r="P22" s="33"/>
      <c r="Q22" s="33"/>
      <c r="R22" s="34"/>
    </row>
    <row r="23" spans="2:18" x14ac:dyDescent="0.35">
      <c r="H23" s="17"/>
      <c r="I23" s="18"/>
      <c r="J23" s="19"/>
      <c r="K23" s="19"/>
      <c r="L23" s="20"/>
    </row>
    <row r="24" spans="2:18" x14ac:dyDescent="0.35">
      <c r="H24" s="17"/>
      <c r="I24" s="18"/>
      <c r="J24" s="19"/>
      <c r="K24" s="19"/>
      <c r="L24" s="20"/>
    </row>
    <row r="25" spans="2:18" x14ac:dyDescent="0.35">
      <c r="H25" s="17" t="s">
        <v>22</v>
      </c>
      <c r="I25" s="18">
        <v>45679</v>
      </c>
      <c r="J25" s="19"/>
      <c r="K25" s="19">
        <v>60000000</v>
      </c>
      <c r="L25" s="20"/>
    </row>
    <row r="26" spans="2:18" x14ac:dyDescent="0.35">
      <c r="H26" s="24"/>
      <c r="I26" s="25"/>
      <c r="J26" s="26"/>
      <c r="K26" s="26"/>
      <c r="L26" s="27"/>
    </row>
    <row r="27" spans="2:18" ht="6.75" customHeight="1" x14ac:dyDescent="0.35">
      <c r="H27" s="21"/>
      <c r="I27" s="22"/>
      <c r="J27" s="22"/>
      <c r="K27" s="22"/>
      <c r="L27" s="23"/>
    </row>
    <row r="28" spans="2:18" ht="2.25" customHeight="1" x14ac:dyDescent="0.35">
      <c r="H28" s="21"/>
      <c r="I28" s="22"/>
      <c r="J28" s="22"/>
      <c r="K28" s="22"/>
      <c r="L28" s="23"/>
    </row>
    <row r="29" spans="2:18" ht="2.25" customHeight="1" x14ac:dyDescent="0.35">
      <c r="H29" s="21"/>
      <c r="I29" s="22"/>
      <c r="J29" s="22"/>
      <c r="K29" s="22"/>
      <c r="L29" s="23"/>
    </row>
    <row r="30" spans="2:18" ht="15" thickBot="1" x14ac:dyDescent="0.4">
      <c r="H30" s="31" t="s">
        <v>20</v>
      </c>
      <c r="I30" s="32"/>
      <c r="J30" s="33"/>
      <c r="K30" s="33"/>
      <c r="L30" s="34"/>
    </row>
  </sheetData>
  <mergeCells count="47">
    <mergeCell ref="I24:J24"/>
    <mergeCell ref="K24:L24"/>
    <mergeCell ref="I25:J25"/>
    <mergeCell ref="K25:L25"/>
    <mergeCell ref="I26:L26"/>
    <mergeCell ref="I30:J30"/>
    <mergeCell ref="K30:L30"/>
    <mergeCell ref="I22:J22"/>
    <mergeCell ref="K22:L22"/>
    <mergeCell ref="O22:P22"/>
    <mergeCell ref="Q22:R22"/>
    <mergeCell ref="I23:J23"/>
    <mergeCell ref="K23:L23"/>
    <mergeCell ref="I20:J20"/>
    <mergeCell ref="K20:L20"/>
    <mergeCell ref="C21:D21"/>
    <mergeCell ref="E21:F21"/>
    <mergeCell ref="I21:J21"/>
    <mergeCell ref="K21:L21"/>
    <mergeCell ref="C17:F17"/>
    <mergeCell ref="K17:L17"/>
    <mergeCell ref="I18:J18"/>
    <mergeCell ref="K18:L18"/>
    <mergeCell ref="O18:R18"/>
    <mergeCell ref="I19:J19"/>
    <mergeCell ref="K19:L19"/>
    <mergeCell ref="C16:D16"/>
    <mergeCell ref="E16:F16"/>
    <mergeCell ref="I16:J16"/>
    <mergeCell ref="K16:L16"/>
    <mergeCell ref="O16:P16"/>
    <mergeCell ref="Q16:R16"/>
    <mergeCell ref="C12:F12"/>
    <mergeCell ref="I12:L12"/>
    <mergeCell ref="O12:R12"/>
    <mergeCell ref="C13:D13"/>
    <mergeCell ref="E13:F13"/>
    <mergeCell ref="I13:J13"/>
    <mergeCell ref="K13:L13"/>
    <mergeCell ref="O13:P13"/>
    <mergeCell ref="Q13:R13"/>
    <mergeCell ref="B4:F4"/>
    <mergeCell ref="H4:L4"/>
    <mergeCell ref="N4:R4"/>
    <mergeCell ref="C10:F10"/>
    <mergeCell ref="I10:L10"/>
    <mergeCell ref="O10:R10"/>
  </mergeCells>
  <hyperlinks>
    <hyperlink ref="C17" r:id="rId1" xr:uid="{AA1E8092-8FCB-4707-91F2-B72A7AA7691D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Johns</dc:creator>
  <cp:lastModifiedBy>Nathan Johns</cp:lastModifiedBy>
  <dcterms:created xsi:type="dcterms:W3CDTF">2026-02-24T17:11:48Z</dcterms:created>
  <dcterms:modified xsi:type="dcterms:W3CDTF">2026-02-24T17:14:25Z</dcterms:modified>
</cp:coreProperties>
</file>